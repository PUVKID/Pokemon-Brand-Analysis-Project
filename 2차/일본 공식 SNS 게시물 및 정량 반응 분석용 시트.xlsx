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lwk\Desktop\대외활동\2026년\2026 SSCI 논문\한중일 공식 SNS 게시물 및 정량 반응 분석용 시트\"/>
    </mc:Choice>
  </mc:AlternateContent>
  <xr:revisionPtr revIDLastSave="0" documentId="13_ncr:1_{28A3E88E-BA63-4756-8188-A85FAB38BE88}" xr6:coauthVersionLast="47" xr6:coauthVersionMax="47" xr10:uidLastSave="{00000000-0000-0000-0000-000000000000}"/>
  <bookViews>
    <workbookView xWindow="-98" yWindow="-98" windowWidth="21795" windowHeight="12975" xr2:uid="{46F55798-9B39-451D-961A-ACCCDA317549}"/>
  </bookViews>
  <sheets>
    <sheet name="일본 수집 채널 링크" sheetId="9" r:id="rId1"/>
    <sheet name="일본 공식 SNS 게시물 및 정량 반응" sheetId="5" r:id="rId2"/>
    <sheet name="일본 유튜브 댓글 모음" sheetId="6" r:id="rId3"/>
    <sheet name="일본 인스타 댓글 모음" sheetId="7" r:id="rId4"/>
    <sheet name="일본 X(트위터) 댓글 모음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5" l="1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4" i="5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4" i="8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4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</calcChain>
</file>

<file path=xl/sharedStrings.xml><?xml version="1.0" encoding="utf-8"?>
<sst xmlns="http://schemas.openxmlformats.org/spreadsheetml/2006/main" count="125" uniqueCount="94">
  <si>
    <t>YYYY-MM-DD</t>
  </si>
  <si>
    <t>유튜브</t>
  </si>
  <si>
    <t>주요 언급 토픽</t>
  </si>
  <si>
    <t>X</t>
  </si>
  <si>
    <t>게시 플랫폼</t>
  </si>
  <si>
    <t>게시일</t>
  </si>
  <si>
    <t>SNS_KR_001</t>
  </si>
  <si>
    <t>SNS_KR_002</t>
  </si>
  <si>
    <t>SNS_KR_003</t>
  </si>
  <si>
    <t>댓글 고유 번호</t>
  </si>
  <si>
    <t>매칭 게시물 번호</t>
  </si>
  <si>
    <t>작성일</t>
  </si>
  <si>
    <t>유저 댓글 원문</t>
  </si>
  <si>
    <t>감성 사전코딩(택1)</t>
  </si>
  <si>
    <t>행동/참여 의도 키워드(O/X)</t>
  </si>
  <si>
    <t>비고</t>
  </si>
  <si>
    <t>Sheet 1의 번호 입력(예: SNS_KR_002)</t>
  </si>
  <si>
    <t>(인스타그램 댓글 텍스트 그대로 복사)</t>
  </si>
  <si>
    <t>1(긍정) / 0(중립) / -1(부정) 중 택 1</t>
  </si>
  <si>
    <t>(예: 일러스트, 지인태그, 장소문의 등)</t>
  </si>
  <si>
    <t>O 또는 X 입력</t>
  </si>
  <si>
    <t>특이사항</t>
  </si>
  <si>
    <t>@친구태그 야 이거 우리 주말에 팝업스토어 가자!!</t>
  </si>
  <si>
    <t>지인 소환 / 오프라인 행사</t>
  </si>
  <si>
    <t>O</t>
  </si>
  <si>
    <t>친구 태그함</t>
  </si>
  <si>
    <t>[입력 가이드]</t>
    <phoneticPr fontId="1" type="noConversion"/>
  </si>
  <si>
    <t>[작성 예시] INST_KR_000</t>
    <phoneticPr fontId="1" type="noConversion"/>
  </si>
  <si>
    <t>게시물 고유 번호</t>
  </si>
  <si>
    <t>게시물 포맷(택1)</t>
  </si>
  <si>
    <t>캠페인 목적(택1)</t>
  </si>
  <si>
    <t>게시물 본문/카피 원문</t>
  </si>
  <si>
    <t>조회수</t>
  </si>
  <si>
    <t>좋아요 수</t>
  </si>
  <si>
    <t>총 댓글 수</t>
  </si>
  <si>
    <t>공유(리트윗) 수</t>
  </si>
  <si>
    <t>메시지 유형 분류(택1)</t>
  </si>
  <si>
    <t>원본 URL</t>
  </si>
  <si>
    <t>유튜브/인스타그램/X 중 택 1</t>
  </si>
  <si>
    <t>영상 / 이미지 / 카드뉴스 / 텍스트 중 택 1</t>
  </si>
  <si>
    <t>상품판매 / 행사참여 / 브랜드홍보 중 택 1</t>
  </si>
  <si>
    <t>(SNS 게시글 원문 텍스트 복사)</t>
  </si>
  <si>
    <t>숫자만 입력(예: 15000)</t>
  </si>
  <si>
    <t>숫자만 입력</t>
  </si>
  <si>
    <t>숫자만 입력(없으면 0)</t>
  </si>
  <si>
    <t>내부자형 / 초대형 중 택 1</t>
  </si>
  <si>
    <t>링크 주소 복사</t>
  </si>
  <si>
    <t>특이사항 기재</t>
  </si>
  <si>
    <t>영상</t>
  </si>
  <si>
    <t>브랜드홍보</t>
  </si>
  <si>
    <t>함께한 30년, 앞으로도 계속될 모험!</t>
  </si>
  <si>
    <t>초대형</t>
  </si>
  <si>
    <t>https://...</t>
  </si>
  <si>
    <t>(이 줄은 지우지 마세요)</t>
  </si>
  <si>
    <t>[작성 예시] SNS_KR_000</t>
    <phoneticPr fontId="1" type="noConversion"/>
  </si>
  <si>
    <t>Sheet 1의 번호 입력(예: SNS_KR_001)</t>
  </si>
  <si>
    <t>(유튜브 댓글 텍스트 그대로 복사)</t>
  </si>
  <si>
    <t>(예: 추억, 영상미, 가격 등 자유기재)</t>
  </si>
  <si>
    <t>O 또는 X 입력 (구매/시작 등 의도가 보이면 O)</t>
  </si>
  <si>
    <t>어릴 때 샀던 첫 카드가 생각나네요 영상 감동입니다ㅠㅠ</t>
  </si>
  <si>
    <t>과거 추억 / 영상 연출</t>
  </si>
  <si>
    <t>-</t>
  </si>
  <si>
    <t>[작성 예시] YTB_KR_000</t>
    <phoneticPr fontId="1" type="noConversion"/>
  </si>
  <si>
    <t>반응 고유 번호</t>
  </si>
  <si>
    <t>유저 답글/인용 원문</t>
  </si>
  <si>
    <t>게시글 URL(선택)</t>
  </si>
  <si>
    <t>Sheet 1의 번호 입력(예: SNS_KR_003)</t>
  </si>
  <si>
    <t>(트위터 답글 또는 인용 글 원문 복사)</t>
  </si>
  <si>
    <t>(예: 카드 성능, 리트윗 이벤트 등)</t>
  </si>
  <si>
    <t>(인용 트윗인 경우 링크 첨부)</t>
  </si>
  <si>
    <t>이번 일러스트 진짜 미쳤다 당장 박스깡(구매) 하러 갑니다</t>
  </si>
  <si>
    <t>일러스트 / 카드 팩 구매</t>
  </si>
  <si>
    <t>[작성 예시] X_KR_000</t>
    <phoneticPr fontId="1" type="noConversion"/>
  </si>
  <si>
    <t>구분</t>
  </si>
  <si>
    <t>채널 성격</t>
  </si>
  <si>
    <t>공식 채널명</t>
  </si>
  <si>
    <t>바로가기 URL</t>
  </si>
  <si>
    <t>비고 (수집 시 주의사항)</t>
  </si>
  <si>
    <t>포켓몬 종합</t>
  </si>
  <si>
    <t>카드 전용</t>
  </si>
  <si>
    <t>인스타그램</t>
  </si>
  <si>
    <t>X (트위터)</t>
  </si>
  <si>
    <t>일본 본사의 30주년 메인 캠페인 영상 확인</t>
  </si>
  <si>
    <t>일본 현지 카드 발매 및 배틀 관련 디테일한 영상 확인</t>
  </si>
  <si>
    <t>시각적 이미지 위주의 캠페인 확인</t>
  </si>
  <si>
    <r>
      <t>포켓몬</t>
    </r>
    <r>
      <rPr>
        <sz val="11"/>
        <rFont val="Segoe UI"/>
        <family val="2"/>
        <charset val="129"/>
      </rPr>
      <t xml:space="preserve"> </t>
    </r>
    <r>
      <rPr>
        <sz val="11"/>
        <rFont val="돋움"/>
        <family val="3"/>
        <charset val="129"/>
      </rPr>
      <t>종합</t>
    </r>
  </si>
  <si>
    <t>가장 리트윗과 반응이 활발한 메인 종합 계정</t>
  </si>
  <si>
    <r>
      <t>【公式】ポケモンカ</t>
    </r>
    <r>
      <rPr>
        <sz val="11"/>
        <color theme="1"/>
        <rFont val="Yu Gothic"/>
        <family val="2"/>
        <charset val="128"/>
      </rPr>
      <t>ードチャンネル</t>
    </r>
    <phoneticPr fontId="1" type="noConversion"/>
  </si>
  <si>
    <t>www.youtube.com/@PokecaCH</t>
    <phoneticPr fontId="1" type="noConversion"/>
  </si>
  <si>
    <t>www.youtube.com/@PokemonCoJp</t>
    <phoneticPr fontId="1" type="noConversion"/>
  </si>
  <si>
    <t>ポケモン公式YouTubeチャンネル</t>
    <phoneticPr fontId="1" type="noConversion"/>
  </si>
  <si>
    <t>https://x.com/Pokemon_cojp</t>
    <phoneticPr fontId="1" type="noConversion"/>
  </si>
  <si>
    <t>https://www.instagram.com/pokemon_jpn?utm_source=ig_web_button_share_sheet&amp;stkn=ZDNlZDc0MzIxNw==</t>
    <phoneticPr fontId="1" type="noConversion"/>
  </si>
  <si>
    <t>ポケモン公式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</si>
</sst>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Segoe UI"/>
      <family val="2"/>
      <charset val="129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Pokemon_cojp" TargetMode="External"/><Relationship Id="rId2" Type="http://schemas.openxmlformats.org/officeDocument/2006/relationships/hyperlink" Target="http://www.youtube.com/@PokecaCH" TargetMode="External"/><Relationship Id="rId1" Type="http://schemas.openxmlformats.org/officeDocument/2006/relationships/hyperlink" Target="http://www.youtube.com/@PokemonCoJp" TargetMode="External"/><Relationship Id="rId4" Type="http://schemas.openxmlformats.org/officeDocument/2006/relationships/hyperlink" Target="https://www.instagram.com/pokemon_jpn?utm_source=ig_web_button_share_sheet&amp;stkn=ZDNlZDc0MzIxNw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7EDB-2776-45A3-9B43-350F211CA1BD}">
  <dimension ref="A1:E7"/>
  <sheetViews>
    <sheetView tabSelected="1" workbookViewId="0">
      <selection activeCell="E8" sqref="E8"/>
    </sheetView>
  </sheetViews>
  <sheetFormatPr defaultRowHeight="16.899999999999999"/>
  <sheetData>
    <row r="1" spans="1: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>
      <c r="A2" t="s">
        <v>1</v>
      </c>
      <c r="B2" t="s">
        <v>78</v>
      </c>
      <c r="C2" t="s">
        <v>90</v>
      </c>
      <c r="D2" s="3" t="s">
        <v>89</v>
      </c>
      <c r="E2" t="s">
        <v>82</v>
      </c>
    </row>
    <row r="3" spans="1:5" ht="17.649999999999999">
      <c r="A3" t="s">
        <v>1</v>
      </c>
      <c r="B3" t="s">
        <v>79</v>
      </c>
      <c r="C3" t="s">
        <v>87</v>
      </c>
      <c r="D3" s="3" t="s">
        <v>88</v>
      </c>
      <c r="E3" t="s">
        <v>83</v>
      </c>
    </row>
    <row r="4" spans="1:5" ht="17.649999999999999">
      <c r="A4" t="s">
        <v>80</v>
      </c>
      <c r="B4" t="s">
        <v>78</v>
      </c>
      <c r="C4" t="s">
        <v>93</v>
      </c>
      <c r="D4" s="3" t="s">
        <v>92</v>
      </c>
      <c r="E4" t="s">
        <v>84</v>
      </c>
    </row>
    <row r="5" spans="1:5">
      <c r="A5" t="s">
        <v>81</v>
      </c>
      <c r="B5" s="5" t="s">
        <v>85</v>
      </c>
      <c r="C5" t="s">
        <v>93</v>
      </c>
      <c r="D5" s="3" t="s">
        <v>91</v>
      </c>
      <c r="E5" t="s">
        <v>86</v>
      </c>
    </row>
    <row r="6" spans="1:5">
      <c r="D6" s="3"/>
    </row>
    <row r="7" spans="1:5">
      <c r="C7" s="4"/>
      <c r="D7" s="3"/>
    </row>
  </sheetData>
  <phoneticPr fontId="1" type="noConversion"/>
  <hyperlinks>
    <hyperlink ref="D2" r:id="rId1" xr:uid="{829D70F7-CD7A-433B-9186-27939B8A504A}"/>
    <hyperlink ref="D3" r:id="rId2" xr:uid="{953C7B41-7077-4B62-81BB-E804403E31A8}"/>
    <hyperlink ref="D5" r:id="rId3" xr:uid="{2987D4F8-083A-4184-92CA-E2DC4BE52105}"/>
    <hyperlink ref="D4" r:id="rId4" xr:uid="{BA7F5145-D584-4868-92A0-F6FF54BE28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F47D-5F58-4B6C-8191-5C87708E604A}">
  <dimension ref="A1:M500"/>
  <sheetViews>
    <sheetView workbookViewId="0">
      <selection activeCell="F23" sqref="F23"/>
    </sheetView>
  </sheetViews>
  <sheetFormatPr defaultRowHeight="16.899999999999999"/>
  <cols>
    <col min="3" max="3" width="10.5625" bestFit="1" customWidth="1"/>
  </cols>
  <sheetData>
    <row r="1" spans="1:13">
      <c r="A1" t="s">
        <v>28</v>
      </c>
      <c r="B1" t="s">
        <v>4</v>
      </c>
      <c r="C1" t="s">
        <v>5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15</v>
      </c>
    </row>
    <row r="2" spans="1:13">
      <c r="A2" s="2" t="s">
        <v>26</v>
      </c>
      <c r="B2" t="s">
        <v>38</v>
      </c>
      <c r="C2" t="s">
        <v>0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</row>
    <row r="3" spans="1:13">
      <c r="A3" s="2" t="s">
        <v>54</v>
      </c>
      <c r="B3" t="s">
        <v>1</v>
      </c>
      <c r="C3" s="1">
        <v>46296</v>
      </c>
      <c r="D3" t="s">
        <v>48</v>
      </c>
      <c r="E3" t="s">
        <v>49</v>
      </c>
      <c r="F3" t="s">
        <v>50</v>
      </c>
      <c r="G3">
        <v>50000</v>
      </c>
      <c r="H3">
        <v>1200</v>
      </c>
      <c r="I3">
        <v>150</v>
      </c>
      <c r="J3">
        <v>0</v>
      </c>
      <c r="K3" t="s">
        <v>51</v>
      </c>
      <c r="L3" t="s">
        <v>52</v>
      </c>
      <c r="M3" t="s">
        <v>53</v>
      </c>
    </row>
    <row r="4" spans="1:13">
      <c r="A4" t="str">
        <f>IF(B4="","", "SNS_KR_" &amp; TEXT(ROW()-3, "000"))</f>
        <v/>
      </c>
    </row>
    <row r="5" spans="1:13">
      <c r="A5" t="str">
        <f t="shared" ref="A5:A68" si="0">IF(B5="","", "SNS_KR_" &amp; TEXT(ROW()-3, "000"))</f>
        <v/>
      </c>
    </row>
    <row r="6" spans="1:13">
      <c r="A6" t="str">
        <f t="shared" si="0"/>
        <v/>
      </c>
    </row>
    <row r="7" spans="1:13">
      <c r="A7" t="str">
        <f t="shared" si="0"/>
        <v/>
      </c>
    </row>
    <row r="8" spans="1:13">
      <c r="A8" t="str">
        <f t="shared" si="0"/>
        <v/>
      </c>
    </row>
    <row r="9" spans="1:13">
      <c r="A9" t="str">
        <f t="shared" si="0"/>
        <v/>
      </c>
    </row>
    <row r="10" spans="1:13">
      <c r="A10" t="str">
        <f t="shared" si="0"/>
        <v/>
      </c>
    </row>
    <row r="11" spans="1:13">
      <c r="A11" t="str">
        <f t="shared" si="0"/>
        <v/>
      </c>
    </row>
    <row r="12" spans="1:13">
      <c r="A12" t="str">
        <f t="shared" si="0"/>
        <v/>
      </c>
    </row>
    <row r="13" spans="1:13">
      <c r="A13" t="str">
        <f t="shared" si="0"/>
        <v/>
      </c>
    </row>
    <row r="14" spans="1:13">
      <c r="A14" t="str">
        <f t="shared" si="0"/>
        <v/>
      </c>
    </row>
    <row r="15" spans="1:13">
      <c r="A15" t="str">
        <f t="shared" si="0"/>
        <v/>
      </c>
    </row>
    <row r="16" spans="1:13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"SNS_KR_"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"SNS_KR_"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"SNS_KR_"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"SNS_KR_"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"SNS_KR_"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"SNS_KR_"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"SNS_KR_"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893B-4174-4421-935B-6A17B54A21F1}">
  <dimension ref="A1:H500"/>
  <sheetViews>
    <sheetView workbookViewId="0">
      <selection activeCell="J20" sqref="J20"/>
    </sheetView>
  </sheetViews>
  <sheetFormatPr defaultRowHeight="16.899999999999999"/>
  <cols>
    <col min="3" max="3" width="10.5625" bestFit="1" customWidth="1"/>
  </cols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2</v>
      </c>
      <c r="G1" t="s">
        <v>14</v>
      </c>
      <c r="H1" t="s">
        <v>15</v>
      </c>
    </row>
    <row r="2" spans="1:8">
      <c r="A2" s="2" t="s">
        <v>26</v>
      </c>
      <c r="B2" t="s">
        <v>55</v>
      </c>
      <c r="C2" t="s">
        <v>0</v>
      </c>
      <c r="D2" t="s">
        <v>56</v>
      </c>
      <c r="E2" t="s">
        <v>18</v>
      </c>
      <c r="F2" t="s">
        <v>57</v>
      </c>
      <c r="G2" t="s">
        <v>58</v>
      </c>
      <c r="H2" t="s">
        <v>21</v>
      </c>
    </row>
    <row r="3" spans="1:8">
      <c r="A3" s="2" t="s">
        <v>62</v>
      </c>
      <c r="B3" t="s">
        <v>6</v>
      </c>
      <c r="C3" s="1">
        <v>46296</v>
      </c>
      <c r="D3" t="s">
        <v>59</v>
      </c>
      <c r="E3">
        <v>1</v>
      </c>
      <c r="F3" t="s">
        <v>60</v>
      </c>
      <c r="G3" t="s">
        <v>3</v>
      </c>
      <c r="H3" t="s">
        <v>61</v>
      </c>
    </row>
    <row r="4" spans="1:8">
      <c r="A4" t="str">
        <f>IF(B4="","", "YTB_KR_" &amp; TEXT(ROW()-3, "000"))</f>
        <v/>
      </c>
    </row>
    <row r="5" spans="1:8">
      <c r="A5" t="str">
        <f t="shared" ref="A5:A68" si="0">IF(B5="","", "YTB_KR_" &amp; TEXT(ROW()-3, "000"))</f>
        <v/>
      </c>
    </row>
    <row r="6" spans="1:8">
      <c r="A6" t="str">
        <f t="shared" si="0"/>
        <v/>
      </c>
    </row>
    <row r="7" spans="1:8">
      <c r="A7" t="str">
        <f t="shared" si="0"/>
        <v/>
      </c>
    </row>
    <row r="8" spans="1:8">
      <c r="A8" t="str">
        <f t="shared" si="0"/>
        <v/>
      </c>
    </row>
    <row r="9" spans="1:8">
      <c r="A9" t="str">
        <f t="shared" si="0"/>
        <v/>
      </c>
    </row>
    <row r="10" spans="1:8">
      <c r="A10" t="str">
        <f t="shared" si="0"/>
        <v/>
      </c>
    </row>
    <row r="11" spans="1:8">
      <c r="A11" t="str">
        <f t="shared" si="0"/>
        <v/>
      </c>
    </row>
    <row r="12" spans="1:8">
      <c r="A12" t="str">
        <f t="shared" si="0"/>
        <v/>
      </c>
    </row>
    <row r="13" spans="1:8">
      <c r="A13" t="str">
        <f t="shared" si="0"/>
        <v/>
      </c>
    </row>
    <row r="14" spans="1:8">
      <c r="A14" t="str">
        <f t="shared" si="0"/>
        <v/>
      </c>
    </row>
    <row r="15" spans="1:8">
      <c r="A15" t="str">
        <f t="shared" si="0"/>
        <v/>
      </c>
    </row>
    <row r="16" spans="1:8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"YTB_KR_"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"YTB_KR_"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"YTB_KR_"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"YTB_KR_"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"YTB_KR_"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"YTB_KR_"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"YTB_KR_"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3BF3-F5C9-4A57-982A-32BC93F1FE08}">
  <dimension ref="A1:H500"/>
  <sheetViews>
    <sheetView workbookViewId="0">
      <selection activeCell="A4" sqref="A4"/>
    </sheetView>
  </sheetViews>
  <sheetFormatPr defaultRowHeight="16.899999999999999"/>
  <cols>
    <col min="3" max="3" width="10.5625" bestFit="1" customWidth="1"/>
  </cols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2</v>
      </c>
      <c r="G1" t="s">
        <v>14</v>
      </c>
      <c r="H1" t="s">
        <v>15</v>
      </c>
    </row>
    <row r="2" spans="1:8">
      <c r="A2" s="2" t="s">
        <v>26</v>
      </c>
      <c r="B2" t="s">
        <v>16</v>
      </c>
      <c r="C2" t="s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>
      <c r="A3" s="2" t="s">
        <v>27</v>
      </c>
      <c r="B3" t="s">
        <v>7</v>
      </c>
      <c r="C3" s="1">
        <v>46296</v>
      </c>
      <c r="D3" t="s">
        <v>22</v>
      </c>
      <c r="E3">
        <v>1</v>
      </c>
      <c r="F3" t="s">
        <v>23</v>
      </c>
      <c r="G3" t="s">
        <v>24</v>
      </c>
      <c r="H3" t="s">
        <v>25</v>
      </c>
    </row>
    <row r="4" spans="1:8">
      <c r="A4" t="str">
        <f>IF(B4="","", "INST_KR_" &amp; TEXT(ROW()-3, "000"))</f>
        <v/>
      </c>
    </row>
    <row r="5" spans="1:8">
      <c r="A5" t="str">
        <f t="shared" ref="A5:A68" si="0">IF(B5="","", "INST_KR_" &amp; TEXT(ROW()-3, "000"))</f>
        <v/>
      </c>
    </row>
    <row r="6" spans="1:8">
      <c r="A6" t="str">
        <f t="shared" si="0"/>
        <v/>
      </c>
    </row>
    <row r="7" spans="1:8">
      <c r="A7" t="str">
        <f t="shared" si="0"/>
        <v/>
      </c>
    </row>
    <row r="8" spans="1:8">
      <c r="A8" t="str">
        <f t="shared" si="0"/>
        <v/>
      </c>
    </row>
    <row r="9" spans="1:8">
      <c r="A9" t="str">
        <f t="shared" si="0"/>
        <v/>
      </c>
    </row>
    <row r="10" spans="1:8">
      <c r="A10" t="str">
        <f t="shared" si="0"/>
        <v/>
      </c>
    </row>
    <row r="11" spans="1:8">
      <c r="A11" t="str">
        <f t="shared" si="0"/>
        <v/>
      </c>
    </row>
    <row r="12" spans="1:8">
      <c r="A12" t="str">
        <f t="shared" si="0"/>
        <v/>
      </c>
    </row>
    <row r="13" spans="1:8">
      <c r="A13" t="str">
        <f t="shared" si="0"/>
        <v/>
      </c>
    </row>
    <row r="14" spans="1:8">
      <c r="A14" t="str">
        <f t="shared" si="0"/>
        <v/>
      </c>
    </row>
    <row r="15" spans="1:8">
      <c r="A15" t="str">
        <f t="shared" si="0"/>
        <v/>
      </c>
    </row>
    <row r="16" spans="1:8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"INST_KR_"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"INST_KR_"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"INST_KR_"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"INST_KR_"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"INST_KR_"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"INST_KR_"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"INST_KR_"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3529-0344-43AD-8F21-AFC23F322D65}">
  <dimension ref="A1:H500"/>
  <sheetViews>
    <sheetView workbookViewId="0">
      <selection activeCell="D3" sqref="D3"/>
    </sheetView>
  </sheetViews>
  <sheetFormatPr defaultRowHeight="16.899999999999999"/>
  <cols>
    <col min="3" max="3" width="10.5625" bestFit="1" customWidth="1"/>
  </cols>
  <sheetData>
    <row r="1" spans="1:8">
      <c r="A1" t="s">
        <v>63</v>
      </c>
      <c r="B1" t="s">
        <v>10</v>
      </c>
      <c r="C1" t="s">
        <v>11</v>
      </c>
      <c r="D1" t="s">
        <v>64</v>
      </c>
      <c r="E1" t="s">
        <v>13</v>
      </c>
      <c r="F1" t="s">
        <v>2</v>
      </c>
      <c r="G1" t="s">
        <v>14</v>
      </c>
      <c r="H1" t="s">
        <v>65</v>
      </c>
    </row>
    <row r="2" spans="1:8">
      <c r="A2" s="2" t="s">
        <v>26</v>
      </c>
      <c r="B2" t="s">
        <v>66</v>
      </c>
      <c r="C2" t="s">
        <v>0</v>
      </c>
      <c r="D2" t="s">
        <v>67</v>
      </c>
      <c r="E2" t="s">
        <v>18</v>
      </c>
      <c r="F2" t="s">
        <v>68</v>
      </c>
      <c r="G2" t="s">
        <v>20</v>
      </c>
      <c r="H2" t="s">
        <v>69</v>
      </c>
    </row>
    <row r="3" spans="1:8">
      <c r="A3" s="2" t="s">
        <v>72</v>
      </c>
      <c r="B3" t="s">
        <v>8</v>
      </c>
      <c r="C3" s="1">
        <v>46296</v>
      </c>
      <c r="D3" t="s">
        <v>70</v>
      </c>
      <c r="E3">
        <v>1</v>
      </c>
      <c r="F3" t="s">
        <v>71</v>
      </c>
      <c r="G3" t="s">
        <v>24</v>
      </c>
      <c r="H3" t="s">
        <v>52</v>
      </c>
    </row>
    <row r="4" spans="1:8">
      <c r="A4" t="str">
        <f>IF(B4="","", "X_KR_" &amp; TEXT(ROW()-3, "000"))</f>
        <v/>
      </c>
    </row>
    <row r="5" spans="1:8">
      <c r="A5" t="str">
        <f t="shared" ref="A5:A68" si="0">IF(B5="","", "X_KR_" &amp; TEXT(ROW()-3, "000"))</f>
        <v/>
      </c>
    </row>
    <row r="6" spans="1:8">
      <c r="A6" t="str">
        <f t="shared" si="0"/>
        <v/>
      </c>
    </row>
    <row r="7" spans="1:8">
      <c r="A7" t="str">
        <f t="shared" si="0"/>
        <v/>
      </c>
    </row>
    <row r="8" spans="1:8">
      <c r="A8" t="str">
        <f t="shared" si="0"/>
        <v/>
      </c>
    </row>
    <row r="9" spans="1:8">
      <c r="A9" t="str">
        <f t="shared" si="0"/>
        <v/>
      </c>
    </row>
    <row r="10" spans="1:8">
      <c r="A10" t="str">
        <f t="shared" si="0"/>
        <v/>
      </c>
    </row>
    <row r="11" spans="1:8">
      <c r="A11" t="str">
        <f t="shared" si="0"/>
        <v/>
      </c>
    </row>
    <row r="12" spans="1:8">
      <c r="A12" t="str">
        <f t="shared" si="0"/>
        <v/>
      </c>
    </row>
    <row r="13" spans="1:8">
      <c r="A13" t="str">
        <f t="shared" si="0"/>
        <v/>
      </c>
    </row>
    <row r="14" spans="1:8">
      <c r="A14" t="str">
        <f t="shared" si="0"/>
        <v/>
      </c>
    </row>
    <row r="15" spans="1:8">
      <c r="A15" t="str">
        <f t="shared" si="0"/>
        <v/>
      </c>
    </row>
    <row r="16" spans="1:8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"X_KR_"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"X_KR_"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"X_KR_"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"X_KR_"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"X_KR_"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"X_KR_"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"X_KR_"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CC1F77FB816154CB4A0AEAB2B99E4E6" ma:contentTypeVersion="3" ma:contentTypeDescription="새 문서를 만듭니다." ma:contentTypeScope="" ma:versionID="a91cfe0793b8d362853918310ff581ee">
  <xsd:schema xmlns:xsd="http://www.w3.org/2001/XMLSchema" xmlns:xs="http://www.w3.org/2001/XMLSchema" xmlns:p="http://schemas.microsoft.com/office/2006/metadata/properties" xmlns:ns3="5ff773f3-2bd1-4284-8b84-f18eacab955f" targetNamespace="http://schemas.microsoft.com/office/2006/metadata/properties" ma:root="true" ma:fieldsID="92331c1e6545fc3a3823d89baa746c4b" ns3:_="">
    <xsd:import namespace="5ff773f3-2bd1-4284-8b84-f18eacab95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773f3-2bd1-4284-8b84-f18eacab9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8DC05F-E5F7-4738-93F1-9D678D524404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5ff773f3-2bd1-4284-8b84-f18eacab955f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6FD5B84-7DCE-4030-A7B8-95019EEF48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773f3-2bd1-4284-8b84-f18eacab9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73348-B0EC-4CB8-B2F5-143D653D33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일본 수집 채널 링크</vt:lpstr>
      <vt:lpstr>일본 공식 SNS 게시물 및 정량 반응</vt:lpstr>
      <vt:lpstr>일본 유튜브 댓글 모음</vt:lpstr>
      <vt:lpstr>일본 인스타 댓글 모음</vt:lpstr>
      <vt:lpstr>일본 X(트위터) 댓글 모음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하상범/광고홍보학과</dc:creator>
  <cp:lastModifiedBy>하상범/광고홍보학과</cp:lastModifiedBy>
  <dcterms:created xsi:type="dcterms:W3CDTF">2026-09-28T07:33:32Z</dcterms:created>
  <dcterms:modified xsi:type="dcterms:W3CDTF">2026-10-01T01:34:30Z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0x0101002CC1F77FB816154CB4A0AEAB2B99E4E6</vt:lpwstr>
  </property>
</Properties>
</file>